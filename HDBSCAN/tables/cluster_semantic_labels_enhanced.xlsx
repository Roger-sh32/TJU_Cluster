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Scene_cluster\HDBSCAN\"/>
    </mc:Choice>
  </mc:AlternateContent>
  <xr:revisionPtr revIDLastSave="0" documentId="8_{F32F2209-F641-415A-9DE3-AFFF0CF0BF43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Cluster_Labels" sheetId="1" r:id="rId1"/>
    <sheet name="Cluster_Profile" sheetId="2" r:id="rId2"/>
    <sheet name="Feature_Glossary" sheetId="3" r:id="rId3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<sst xmlns="http://schemas.openxmlformats.org/spreadsheetml/2006/main" count="138" uniqueCount="111">
  <si>
    <t>18个聚类簇的自动语义标签、核心特征与解释</t>
  </si>
  <si>
    <t>簇编号</t>
  </si>
  <si>
    <t>场景数</t>
  </si>
  <si>
    <t>占比</t>
  </si>
  <si>
    <t>语义标签</t>
  </si>
  <si>
    <t>核心特征（均值, 相对全局偏离σ）</t>
  </si>
  <si>
    <t>解释</t>
  </si>
  <si>
    <t>自车平均速度</t>
  </si>
  <si>
    <t>平均车流密度</t>
  </si>
  <si>
    <t>最小TTC</t>
  </si>
  <si>
    <t>危险TTC占比</t>
  </si>
  <si>
    <t>近距行人占比</t>
  </si>
  <si>
    <t>人行横道密度</t>
  </si>
  <si>
    <t>近距跟驰比例</t>
  </si>
  <si>
    <t>异常波动高风险混合场景</t>
  </si>
  <si>
    <t>自车速度波动↑ (2.304, +0.76σ)；近距行人占比↓ (0.365, -0.44σ)；急刹比例↑ (0.027, +0.40σ)；最小TTC≈ (1.355, -0.35σ)；危险TTC占比≈ (0.548, +0.32σ)</t>
  </si>
  <si>
    <t>自车以中速运行，周围车流处于中等水平，存在持续的低TTC风险。</t>
  </si>
  <si>
    <t>超低速安全跟停场景</t>
  </si>
  <si>
    <t>最小TTC↑↑ (29.133, +2.82σ)；自车加速度波动↓↓ (0.129, -1.64σ)；自车平均速度↓↓ (0.056, -1.62σ)；自车速度波动↓↓ (0.105, -1.58σ)；危险TTC占比↓↓ (0.000, -1.37σ)</t>
  </si>
  <si>
    <t>自车整体低速运行，周围车流处于中等水平，TTC充裕，整体风险较低。</t>
  </si>
  <si>
    <t>稀疏车流高速巡航场景</t>
  </si>
  <si>
    <t>近距跟驰比例↓↓ (0.135, -1.47σ)；大车占比↓↓ (0.392, -1.26σ)；平均车流密度↓↓ (3.039, -1.22σ)；车流波动↓ (1.388, -0.82σ)；近距行人占比↓ (0.233, -0.80σ)</t>
  </si>
  <si>
    <t>自车速度明显偏高，周围车流稀疏，存在一定但可控的跟驰风险。</t>
  </si>
  <si>
    <t>速度差主导的中速跟驰场景</t>
  </si>
  <si>
    <t>邻车速度离散度↑↑ (3.978, +1.58σ)；危险TTC占比↓ (0.191, -0.78σ)；自车加速度波动↓ (1.154, -0.72σ)；自车平均速度↓ (3.185, -0.61σ)；自车速度波动↑ (2.151, +0.59σ)</t>
  </si>
  <si>
    <t>自车以中速运行，周围车流处于中等水平，TTC充裕，整体风险较低。</t>
  </si>
  <si>
    <t>高速动态变速稀疏交互场景</t>
  </si>
  <si>
    <t>邻车速度离散度↑↑ (3.966, +1.57σ)；自车平均速度↑ (8.638, +1.15σ)；自车加速度波动↑ (3.235, +1.13σ)；平均车流密度↓ (8.779, -0.79σ)；近距跟驰比例↓ (0.385, -0.67σ)</t>
  </si>
  <si>
    <t>自车速度明显偏高，周围车流处于中等水平，存在一定但可控的跟驰风险，纵向控制波动较大。</t>
  </si>
  <si>
    <t>两轮车混行高风险路口场景</t>
  </si>
  <si>
    <t>摩托车占比↑↑ (0.797, +1.63σ)；危险TTC占比↑ (0.653, +0.64σ)；自行车占比↑ (0.434, +0.61σ)；人行横道密度↑ (0.191, +0.55σ)；近距行人占比↑ (0.713, +0.51σ)</t>
  </si>
  <si>
    <t>自车以中速运行，周围车流密集，存在持续的低TTC风险，两轮车参与度较高。</t>
  </si>
  <si>
    <t>行人-自行车干扰的波动跟驰场景</t>
  </si>
  <si>
    <t>自车速度波动↑↑ (2.903, +1.39σ)；自行车占比↑ (0.576, +1.03σ)；自车加速度波动↓ (1.122, -0.75σ)；近距行人占比↑ (0.781, +0.70σ)；危险TTC占比↑ (0.611, +0.51σ)</t>
  </si>
  <si>
    <t>自车以中速运行，周围车流处于中等水平，存在持续的低TTC风险，近距行人/弱势交通参与者干扰明显。</t>
  </si>
  <si>
    <t>稀疏轻型车快速通行场景</t>
  </si>
  <si>
    <t>大车占比↓↓ (0.196, -1.84σ)；平均车流密度↓ (5.873, -1.01σ)；近距跟驰比例↓ (0.295, -0.95σ)；近距行人占比↓ (0.208, -0.87σ)；自车平均速度↑ (7.650, +0.83σ)</t>
  </si>
  <si>
    <t>自车速度明显偏高，周围车流稀疏，存在一定但可控的跟驰风险，以轻型车环境为主。</t>
  </si>
  <si>
    <t>高速近距跟驰极高风险场景</t>
  </si>
  <si>
    <t>危险TTC占比↑↑ (0.925, +1.48σ)；自车平均速度↑ (8.276, +1.03σ)；自车加速度波动↑ (2.829, +0.77σ)；近距跟驰比例↑ (0.803, +0.68σ)；邻车速度离散度↑ (2.865, +0.62σ)</t>
  </si>
  <si>
    <t>自车速度明显偏高，周围车流处于中等水平，危险TTC占比极高，冲突强度突出。</t>
  </si>
  <si>
    <t>急刹触发的高速冲突场景</t>
  </si>
  <si>
    <t>急刹比例↑↑ (0.073, +2.11σ)；自车加速度波动↑↑ (3.345, +1.23σ)；自车平均速度↑ (8.742, +1.18σ)；近距跟驰比例↓ (0.381, -0.68σ)；危险TTC占比↑ (0.661, +0.66σ)</t>
  </si>
  <si>
    <t>自车速度明显偏高，周围车流处于中等水平，存在持续的低TTC风险，伴随较多急刹动作。</t>
  </si>
  <si>
    <t>非机动车密集的低速混行场景</t>
  </si>
  <si>
    <t>自行车占比↑↑ (0.942, +2.13σ)；近距行人占比↑ (0.960, +1.19σ)；自车平均速度↓ (2.582, -0.81σ)；邻车速度离散度↓ (1.422, -0.62σ)；近距跟驰比例↑ (0.754, +0.53σ)</t>
  </si>
  <si>
    <t>自车以中速运行，周围车流处于中等水平，存在一定但可控的跟驰风险，近距行人/弱势交通参与者干扰明显。</t>
  </si>
  <si>
    <t>轻型车为主的中速城市通行场景</t>
  </si>
  <si>
    <t>大车占比↓↓ (0.231, -1.74σ)；平均车流密度↓ (7.074, -0.92σ)；邻车速度离散度↓ (1.220, -0.80σ)；车流波动↓ (2.106, -0.60σ)；近距跟驰比例↓ (0.440, -0.49σ)</t>
  </si>
  <si>
    <t>自车以中速运行，周围车流稀疏，存在一定但可控的跟驰风险，以轻型车环境为主。</t>
  </si>
  <si>
    <t>摩托车参与的转向交互场景</t>
  </si>
  <si>
    <t>摩托车占比↑↑ (0.834, +1.73σ)；危险TTC占比↓ (0.221, -0.69σ)；车流波动↓ (1.842, -0.68σ)；平均车流密度↓ (10.741, -0.65σ)；近距行人占比↑ (0.758, +0.63σ)</t>
  </si>
  <si>
    <t>自车以中速运行，周围车流处于中等水平，存在一定但可控的跟驰风险，近距行人/弱势交通参与者干扰明显，转向/路径变化较明显。</t>
  </si>
  <si>
    <t>重型车伴随的低速近距跟驰场景</t>
  </si>
  <si>
    <t>自车速度波动↑ (2.224, +0.67σ)；近距跟驰比例↑ (0.788, +0.63σ)；自车平均速度↓ (3.202, -0.61σ)；自行车占比↓ (0.037, -0.58σ)；摩托车占比↓ (0.045, -0.55σ)</t>
  </si>
  <si>
    <t>行人邻近的低速保守跟驰场景</t>
  </si>
  <si>
    <t>近距行人占比↑ (0.864, +0.93σ)；自车平均速度↓ (2.954, -0.69σ)；近距跟驰比例↑ (0.795, +0.66σ)；大车占比↑ (0.999, +0.56σ)；车流波动↓ (2.242, -0.56σ)</t>
  </si>
  <si>
    <t>人行横道主导的低速让行场景</t>
  </si>
  <si>
    <t>人行横道密度↑↑ (0.745, +4.06σ)；自车平均速度↓ (1.508, -1.15σ)；自车加速度波动↓ (0.806, -1.03σ)；近距行人占比↑ (0.780, +0.70σ)；危险TTC占比↓ (0.231, -0.66σ)</t>
  </si>
  <si>
    <t>自车整体低速运行，周围车流密集，TTC充裕，整体风险较低，人行横道语义非常突出。</t>
  </si>
  <si>
    <t>低风险稳态城市通行场景</t>
  </si>
  <si>
    <t>危险TTC占比↓ (0.141, -0.94σ)；自行车占比↓ (0.034, -0.59σ)；急刹比例↓ (0.001, -0.57σ)；自车平均速度↓ (3.394, -0.54σ)；自车加速度波动↓ (1.368, -0.53σ)</t>
  </si>
  <si>
    <t>自车以中速运行，周围车流处于中等水平，存在一定但可控的跟驰风险。</t>
  </si>
  <si>
    <t>超高密度车流拥堵高风险场景</t>
  </si>
  <si>
    <t>车流波动↑↑ (8.212, +1.25σ)；平均车流密度↑ (34.874, +1.16σ)；危险TTC占比↑ (0.689, +0.75σ)；航向变化总量↑ (3.764, +0.60σ)；邻车速度离散度↓ (1.619, -0.45σ)</t>
  </si>
  <si>
    <t>自车以中速运行，周围车流密集，存在持续的低TTC风险，转向/路径变化较明显。</t>
  </si>
  <si>
    <t>Cluster均值画像（原始特征均值）</t>
  </si>
  <si>
    <t>cluster</t>
  </si>
  <si>
    <t>scene_count</t>
  </si>
  <si>
    <t>share</t>
  </si>
  <si>
    <t>semantic_label</t>
  </si>
  <si>
    <t>frame_count</t>
  </si>
  <si>
    <t>avg_speed</t>
  </si>
  <si>
    <t>max_speed</t>
  </si>
  <si>
    <t>speed_std</t>
  </si>
  <si>
    <t>avg_vehicle_count</t>
  </si>
  <si>
    <t>max_vehicle_count</t>
  </si>
  <si>
    <t>neighbor_density_std</t>
  </si>
  <si>
    <t>neighbor_speed_std</t>
  </si>
  <si>
    <t>pedestrian_nearby_ratio</t>
  </si>
  <si>
    <t>ego_avg_speed</t>
  </si>
  <si>
    <t>ego_speed_std</t>
  </si>
  <si>
    <t>ego_acc_mean</t>
  </si>
  <si>
    <t>ego_acc_std</t>
  </si>
  <si>
    <t>ego_hard_brake_ratio</t>
  </si>
  <si>
    <t>ego_heading_change_total</t>
  </si>
  <si>
    <t>car_following_ratio</t>
  </si>
  <si>
    <t>close_following_ratio</t>
  </si>
  <si>
    <t>min_ttc</t>
  </si>
  <si>
    <t>dangerous_ttc_ratio</t>
  </si>
  <si>
    <t>truck_bus_ratio</t>
  </si>
  <si>
    <t>bicycle_ratio</t>
  </si>
  <si>
    <t>motorcycle_ratio</t>
  </si>
  <si>
    <t>intersection_flag</t>
  </si>
  <si>
    <t>ped_crossing_density</t>
  </si>
  <si>
    <t>字段/规则</t>
  </si>
  <si>
    <t>含义</t>
  </si>
  <si>
    <t>值越高表示该簇整体通行速度越快。</t>
  </si>
  <si>
    <t>值越高表示周围车辆更多，交通更拥挤。</t>
  </si>
  <si>
    <t>越小越危险；越大说明与前车冲突空间更充足。</t>
  </si>
  <si>
    <t>场景中TTC&lt;阈值的比例，越高说明持续危险更明显。</t>
  </si>
  <si>
    <t>反映行人/弱势交通参与者在自车周围出现的频繁程度。</t>
  </si>
  <si>
    <t>反映场景的横道语义强度。</t>
  </si>
  <si>
    <t>反映跟车距离较近的程度。</t>
  </si>
  <si>
    <t>σ偏离</t>
  </si>
  <si>
    <t>相对全局均值的标准化偏离；|σ|越大，说明该特征越能代表该簇。</t>
  </si>
  <si>
    <t>箭头规则</t>
  </si>
  <si>
    <t>↑↑/↓↓: 强偏离；↑/↓: 中等偏离；≈: 接近整体平均。</t>
  </si>
  <si>
    <t>标签生成方式</t>
  </si>
  <si>
    <t>先自动识别Top特征，再结合各簇统计特征进行人工校准，形成便于汇报的语义标签。</t>
  </si>
  <si>
    <r>
      <rPr>
        <i/>
        <sz val="11"/>
        <color rgb="FF1F2937"/>
        <rFont val="微软雅黑"/>
        <family val="2"/>
        <charset val="134"/>
      </rPr>
      <t>说明：核心特征基于簇均值相对全局均值的标准化偏离（</t>
    </r>
    <r>
      <rPr>
        <i/>
        <sz val="11"/>
        <color rgb="FF1F2937"/>
        <rFont val="Arial"/>
        <family val="2"/>
      </rPr>
      <t>σ</t>
    </r>
    <r>
      <rPr>
        <i/>
        <sz val="11"/>
        <color rgb="FF1F2937"/>
        <rFont val="微软雅黑"/>
        <family val="2"/>
        <charset val="134"/>
      </rPr>
      <t>）自动提取；标签为细粒度语义命名。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</si>
</sst>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%"/>
  </numFmts>
  <fonts count="10">
    <font>
      <sz val="11"/>
      <name val="Carlito"/>
    </font>
    <font>
      <b/>
      <sz val="14"/>
      <color rgb="FFFFFFFF"/>
      <name val="Carlito"/>
    </font>
    <font>
      <i/>
      <sz val="11"/>
      <color rgb="FF1F2937"/>
      <name val="Carlito"/>
    </font>
    <font>
      <b/>
      <sz val="11"/>
      <color rgb="FFFFFFFF"/>
      <name val="Carlito"/>
    </font>
    <font>
      <b/>
      <sz val="13"/>
      <color rgb="FFFFFFFF"/>
      <name val="Carlito"/>
    </font>
    <font>
      <sz val="11"/>
      <name val="Carlito"/>
    </font>
    <font>
      <sz val="9"/>
      <name val="宋体"/>
      <family val="3"/>
      <charset val="134"/>
    </font>
    <font>
      <i/>
      <sz val="11"/>
      <color rgb="FF1F2937"/>
      <name val="微软雅黑"/>
      <family val="2"/>
      <charset val="134"/>
    </font>
    <font>
      <i/>
      <sz val="11"/>
      <color rgb="FF1F2937"/>
      <name val="Arial"/>
      <family val="2"/>
    </font>
    <font>
      <i/>
      <sz val="11"/>
      <color rgb="FF1F2937"/>
      <name val="Carlito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6">
    <xf numFmtId="0" fontId="0" fillId="0" borderId="0" xfId="0"/>
    <xf numFmtId="0" fontId="3" fillId="2" borderId="0" xfId="1" applyFont="1" applyFill="1"/>
    <xf numFmtId="0" fontId="3" fillId="2" borderId="0" xfId="1" applyFont="1" applyFill="1" applyAlignment="1">
      <alignment horizontal="center"/>
    </xf>
    <xf numFmtId="0" fontId="3" fillId="2" borderId="0" xfId="1" applyFont="1" applyFill="1" applyAlignment="1">
      <alignment horizontal="center" vertical="center"/>
    </xf>
    <xf numFmtId="0" fontId="0" fillId="0" borderId="0" xfId="1" applyFont="1"/>
    <xf numFmtId="0" fontId="0" fillId="0" borderId="0" xfId="1" applyFont="1" applyAlignment="1">
      <alignment wrapText="1"/>
    </xf>
    <xf numFmtId="176" fontId="0" fillId="0" borderId="0" xfId="1" applyNumberFormat="1" applyFont="1" applyAlignment="1">
      <alignment wrapText="1"/>
    </xf>
    <xf numFmtId="1" fontId="0" fillId="0" borderId="0" xfId="1" applyNumberFormat="1" applyFont="1" applyAlignment="1">
      <alignment wrapText="1"/>
    </xf>
    <xf numFmtId="177" fontId="0" fillId="0" borderId="0" xfId="1" applyNumberFormat="1" applyFont="1" applyAlignment="1">
      <alignment wrapText="1"/>
    </xf>
    <xf numFmtId="176" fontId="0" fillId="0" borderId="0" xfId="1" applyNumberFormat="1" applyFont="1"/>
    <xf numFmtId="1" fontId="0" fillId="0" borderId="0" xfId="1" applyNumberFormat="1" applyFont="1"/>
    <xf numFmtId="177" fontId="0" fillId="0" borderId="0" xfId="1" applyNumberFormat="1" applyFont="1"/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wrapText="1"/>
    </xf>
    <xf numFmtId="0" fontId="4" fillId="2" borderId="0" xfId="1" applyFont="1" applyFill="1" applyAlignment="1">
      <alignment horizontal="center"/>
    </xf>
    <xf numFmtId="0" fontId="9" fillId="3" borderId="0" xfId="1" applyFont="1" applyFill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usterLabelsTable" displayName="ClusterLabelsTable" ref="A3:M21">
  <tableColumns count="13">
    <tableColumn id="1" xr3:uid="{00000000-0010-0000-0000-000001000000}" name="簇编号"/>
    <tableColumn id="2" xr3:uid="{00000000-0010-0000-0000-000002000000}" name="场景数"/>
    <tableColumn id="3" xr3:uid="{00000000-0010-0000-0000-000003000000}" name="占比"/>
    <tableColumn id="4" xr3:uid="{00000000-0010-0000-0000-000004000000}" name="语义标签"/>
    <tableColumn id="5" xr3:uid="{00000000-0010-0000-0000-000005000000}" name="核心特征（均值, 相对全局偏离σ）"/>
    <tableColumn id="6" xr3:uid="{00000000-0010-0000-0000-000006000000}" name="解释"/>
    <tableColumn id="7" xr3:uid="{00000000-0010-0000-0000-000007000000}" name="自车平均速度"/>
    <tableColumn id="8" xr3:uid="{00000000-0010-0000-0000-000008000000}" name="平均车流密度"/>
    <tableColumn id="9" xr3:uid="{00000000-0010-0000-0000-000009000000}" name="最小TTC"/>
    <tableColumn id="10" xr3:uid="{00000000-0010-0000-0000-00000A000000}" name="危险TTC占比"/>
    <tableColumn id="11" xr3:uid="{00000000-0010-0000-0000-00000B000000}" name="近距行人占比"/>
    <tableColumn id="12" xr3:uid="{00000000-0010-0000-0000-00000C000000}" name="人行横道密度"/>
    <tableColumn id="13" xr3:uid="{00000000-0010-0000-0000-00000D000000}" name="近距跟驰比例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ClusterProfileTable" displayName="ClusterProfileTable" ref="A2:AB20">
  <tableColumns count="28">
    <tableColumn id="1" xr3:uid="{00000000-0010-0000-0200-000001000000}" name="cluster"/>
    <tableColumn id="2" xr3:uid="{00000000-0010-0000-0200-000002000000}" name="scene_count"/>
    <tableColumn id="3" xr3:uid="{00000000-0010-0000-0200-000003000000}" name="share"/>
    <tableColumn id="4" xr3:uid="{00000000-0010-0000-0200-000004000000}" name="semantic_label"/>
    <tableColumn id="5" xr3:uid="{00000000-0010-0000-0200-000005000000}" name="frame_count"/>
    <tableColumn id="6" xr3:uid="{00000000-0010-0000-0200-000006000000}" name="avg_speed"/>
    <tableColumn id="7" xr3:uid="{00000000-0010-0000-0200-000007000000}" name="max_speed"/>
    <tableColumn id="8" xr3:uid="{00000000-0010-0000-0200-000008000000}" name="speed_std"/>
    <tableColumn id="9" xr3:uid="{00000000-0010-0000-0200-000009000000}" name="avg_vehicle_count"/>
    <tableColumn id="10" xr3:uid="{00000000-0010-0000-0200-00000A000000}" name="max_vehicle_count"/>
    <tableColumn id="11" xr3:uid="{00000000-0010-0000-0200-00000B000000}" name="neighbor_density_std"/>
    <tableColumn id="12" xr3:uid="{00000000-0010-0000-0200-00000C000000}" name="neighbor_speed_std"/>
    <tableColumn id="13" xr3:uid="{00000000-0010-0000-0200-00000D000000}" name="pedestrian_nearby_ratio"/>
    <tableColumn id="14" xr3:uid="{00000000-0010-0000-0200-00000E000000}" name="ego_avg_speed"/>
    <tableColumn id="15" xr3:uid="{00000000-0010-0000-0200-00000F000000}" name="ego_speed_std"/>
    <tableColumn id="16" xr3:uid="{00000000-0010-0000-0200-000010000000}" name="ego_acc_mean"/>
    <tableColumn id="17" xr3:uid="{00000000-0010-0000-0200-000011000000}" name="ego_acc_std"/>
    <tableColumn id="18" xr3:uid="{00000000-0010-0000-0200-000012000000}" name="ego_hard_brake_ratio"/>
    <tableColumn id="19" xr3:uid="{00000000-0010-0000-0200-000013000000}" name="ego_heading_change_total"/>
    <tableColumn id="20" xr3:uid="{00000000-0010-0000-0200-000014000000}" name="car_following_ratio"/>
    <tableColumn id="21" xr3:uid="{00000000-0010-0000-0200-000015000000}" name="close_following_ratio"/>
    <tableColumn id="22" xr3:uid="{00000000-0010-0000-0200-000016000000}" name="min_ttc"/>
    <tableColumn id="23" xr3:uid="{00000000-0010-0000-0200-000017000000}" name="dangerous_ttc_ratio"/>
    <tableColumn id="24" xr3:uid="{00000000-0010-0000-0200-000018000000}" name="truck_bus_ratio"/>
    <tableColumn id="25" xr3:uid="{00000000-0010-0000-0200-000019000000}" name="bicycle_ratio"/>
    <tableColumn id="26" xr3:uid="{00000000-0010-0000-0200-00001A000000}" name="motorcycle_ratio"/>
    <tableColumn id="27" xr3:uid="{00000000-0010-0000-0200-00001B000000}" name="intersection_flag"/>
    <tableColumn id="28" xr3:uid="{00000000-0010-0000-0200-00001C000000}" name="ped_crossing_dens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GlossaryTable" displayName="GlossaryTable" ref="A1:B11">
  <tableColumns count="2">
    <tableColumn id="1" xr3:uid="{00000000-0010-0000-0400-000001000000}" name="字段/规则"/>
    <tableColumn id="2" xr3:uid="{00000000-0010-0000-0400-000002000000}" name="含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topLeftCell="A7" workbookViewId="0">
      <selection activeCell="A3" sqref="A3"/>
    </sheetView>
  </sheetViews>
  <sheetFormatPr defaultRowHeight="13.8"/>
  <cols>
    <col min="1" max="3" width="8" customWidth="1"/>
    <col min="4" max="4" width="24" customWidth="1"/>
    <col min="5" max="5" width="42" customWidth="1"/>
    <col min="6" max="6" width="44" customWidth="1"/>
    <col min="7" max="8" width="12" customWidth="1"/>
    <col min="9" max="9" width="10" customWidth="1"/>
    <col min="10" max="13" width="12" customWidth="1"/>
  </cols>
  <sheetData>
    <row r="1" spans="1:13" ht="17.399999999999999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15">
      <c r="A2" s="15" t="s">
        <v>110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</row>
    <row r="4" spans="1:13" ht="55.2">
      <c r="A4" s="5">
        <v>-1</v>
      </c>
      <c r="B4" s="7">
        <v>55</v>
      </c>
      <c r="C4" s="8">
        <v>6.4705882352941183E-2</v>
      </c>
      <c r="D4" s="5" t="s">
        <v>14</v>
      </c>
      <c r="E4" s="5" t="s">
        <v>15</v>
      </c>
      <c r="F4" s="5" t="s">
        <v>16</v>
      </c>
      <c r="G4" s="5">
        <v>5.4793981921326269</v>
      </c>
      <c r="H4" s="6">
        <v>20.995320370686226</v>
      </c>
      <c r="I4" s="6">
        <v>1.3546353191276685</v>
      </c>
      <c r="J4" s="6">
        <v>0.54750756883595753</v>
      </c>
      <c r="K4" s="6">
        <v>0.36511285462504972</v>
      </c>
      <c r="L4" s="6">
        <v>0.14270652112115526</v>
      </c>
      <c r="M4" s="6">
        <v>0.63305759281369045</v>
      </c>
    </row>
    <row r="5" spans="1:13" ht="55.2">
      <c r="A5" s="5">
        <v>0</v>
      </c>
      <c r="B5" s="7">
        <v>72</v>
      </c>
      <c r="C5" s="8">
        <v>8.4705882352941173E-2</v>
      </c>
      <c r="D5" s="5" t="s">
        <v>17</v>
      </c>
      <c r="E5" s="5" t="s">
        <v>18</v>
      </c>
      <c r="F5" s="5" t="s">
        <v>19</v>
      </c>
      <c r="G5" s="5">
        <v>5.6105678985807303E-2</v>
      </c>
      <c r="H5" s="6">
        <v>19.206068680077827</v>
      </c>
      <c r="I5" s="6">
        <v>29.133151367427129</v>
      </c>
      <c r="J5" s="6">
        <v>0</v>
      </c>
      <c r="K5" s="6">
        <v>0.72947154471544717</v>
      </c>
      <c r="L5" s="6">
        <v>7.2916666666666668E-3</v>
      </c>
      <c r="M5" s="6">
        <v>0.85753986866791743</v>
      </c>
    </row>
    <row r="6" spans="1:13" ht="55.2">
      <c r="A6" s="5">
        <v>1</v>
      </c>
      <c r="B6" s="7">
        <v>32</v>
      </c>
      <c r="C6" s="8">
        <v>3.7647058823529408E-2</v>
      </c>
      <c r="D6" s="5" t="s">
        <v>20</v>
      </c>
      <c r="E6" s="5" t="s">
        <v>21</v>
      </c>
      <c r="F6" s="5" t="s">
        <v>22</v>
      </c>
      <c r="G6" s="5">
        <v>7.1476101360882129</v>
      </c>
      <c r="H6" s="6">
        <v>3.0386970372107567</v>
      </c>
      <c r="I6" s="6">
        <v>5.9099602654663839</v>
      </c>
      <c r="J6" s="6">
        <v>0.28949908823607068</v>
      </c>
      <c r="K6" s="6">
        <v>0.23290630863039399</v>
      </c>
      <c r="L6" s="6">
        <v>5.8993902439024387E-2</v>
      </c>
      <c r="M6" s="6">
        <v>0.13544940196998123</v>
      </c>
    </row>
    <row r="7" spans="1:13" ht="55.2">
      <c r="A7" s="5">
        <v>2</v>
      </c>
      <c r="B7" s="7">
        <v>35</v>
      </c>
      <c r="C7" s="8">
        <v>4.1176470588235294E-2</v>
      </c>
      <c r="D7" s="5" t="s">
        <v>23</v>
      </c>
      <c r="E7" s="5" t="s">
        <v>24</v>
      </c>
      <c r="F7" s="5" t="s">
        <v>25</v>
      </c>
      <c r="G7" s="5">
        <v>3.1849563501923939</v>
      </c>
      <c r="H7" s="6">
        <v>17.225221567050834</v>
      </c>
      <c r="I7" s="6">
        <v>8.2330075988023932</v>
      </c>
      <c r="J7" s="6">
        <v>0.19124448789862322</v>
      </c>
      <c r="K7" s="6">
        <v>0.34140980970249263</v>
      </c>
      <c r="L7" s="6">
        <v>0.10141651031894934</v>
      </c>
      <c r="M7" s="6">
        <v>0.67784106137764677</v>
      </c>
    </row>
    <row r="8" spans="1:13" ht="55.2">
      <c r="A8" s="5">
        <v>3</v>
      </c>
      <c r="B8" s="7">
        <v>66</v>
      </c>
      <c r="C8" s="8">
        <v>7.7647058823529416E-2</v>
      </c>
      <c r="D8" s="5" t="s">
        <v>26</v>
      </c>
      <c r="E8" s="5" t="s">
        <v>27</v>
      </c>
      <c r="F8" s="5" t="s">
        <v>28</v>
      </c>
      <c r="G8" s="5">
        <v>8.6382966166013482</v>
      </c>
      <c r="H8" s="6">
        <v>8.7793284628650472</v>
      </c>
      <c r="I8" s="6">
        <v>1.531848932400715</v>
      </c>
      <c r="J8" s="6">
        <v>0.3465816194960803</v>
      </c>
      <c r="K8" s="6">
        <v>0.31674934144446337</v>
      </c>
      <c r="L8" s="6">
        <v>4.7095485814998006E-2</v>
      </c>
      <c r="M8" s="6">
        <v>0.38464689104933009</v>
      </c>
    </row>
    <row r="9" spans="1:13" ht="55.2">
      <c r="A9" s="5">
        <v>4</v>
      </c>
      <c r="B9" s="7">
        <v>20</v>
      </c>
      <c r="C9" s="8">
        <v>2.3529411764705882E-2</v>
      </c>
      <c r="D9" s="5" t="s">
        <v>29</v>
      </c>
      <c r="E9" s="5" t="s">
        <v>30</v>
      </c>
      <c r="F9" s="5" t="s">
        <v>31</v>
      </c>
      <c r="G9" s="5">
        <v>5.3275034963912935</v>
      </c>
      <c r="H9" s="6">
        <v>25.299527829893684</v>
      </c>
      <c r="I9" s="6">
        <v>0.849352517267425</v>
      </c>
      <c r="J9" s="6">
        <v>0.65261367686103466</v>
      </c>
      <c r="K9" s="6">
        <v>0.71347013758599132</v>
      </c>
      <c r="L9" s="6">
        <v>0.19103658536585366</v>
      </c>
      <c r="M9" s="6">
        <v>0.67497185741088184</v>
      </c>
    </row>
    <row r="10" spans="1:13" ht="55.2">
      <c r="A10" s="5">
        <v>5</v>
      </c>
      <c r="B10" s="7">
        <v>21</v>
      </c>
      <c r="C10" s="8">
        <v>2.4705882352941175E-2</v>
      </c>
      <c r="D10" s="5" t="s">
        <v>32</v>
      </c>
      <c r="E10" s="5" t="s">
        <v>33</v>
      </c>
      <c r="F10" s="5" t="s">
        <v>34</v>
      </c>
      <c r="G10" s="5">
        <v>4.976436268183547</v>
      </c>
      <c r="H10" s="6">
        <v>18.714613299979153</v>
      </c>
      <c r="I10" s="6">
        <v>0.8992013153488726</v>
      </c>
      <c r="J10" s="6">
        <v>0.61086733490241829</v>
      </c>
      <c r="K10" s="6">
        <v>0.7807997557997558</v>
      </c>
      <c r="L10" s="6">
        <v>0.18527427856696149</v>
      </c>
      <c r="M10" s="6">
        <v>0.66408171774025437</v>
      </c>
    </row>
    <row r="11" spans="1:13" ht="55.2">
      <c r="A11" s="5">
        <v>6</v>
      </c>
      <c r="B11" s="7">
        <v>27</v>
      </c>
      <c r="C11" s="8">
        <v>3.1764705882352938E-2</v>
      </c>
      <c r="D11" s="5" t="s">
        <v>35</v>
      </c>
      <c r="E11" s="5" t="s">
        <v>36</v>
      </c>
      <c r="F11" s="5" t="s">
        <v>37</v>
      </c>
      <c r="G11" s="5">
        <v>7.6496306548428104</v>
      </c>
      <c r="H11" s="6">
        <v>5.8727868112014452</v>
      </c>
      <c r="I11" s="6">
        <v>0.95997173400854385</v>
      </c>
      <c r="J11" s="6">
        <v>0.40687863183732537</v>
      </c>
      <c r="K11" s="6">
        <v>0.20770099367660341</v>
      </c>
      <c r="L11" s="6">
        <v>2.0280036133694671E-2</v>
      </c>
      <c r="M11" s="6">
        <v>0.29514453477868113</v>
      </c>
    </row>
    <row r="12" spans="1:13" ht="55.2">
      <c r="A12" s="5">
        <v>7</v>
      </c>
      <c r="B12" s="7">
        <v>28</v>
      </c>
      <c r="C12" s="8">
        <v>3.2941176470588238E-2</v>
      </c>
      <c r="D12" s="5" t="s">
        <v>38</v>
      </c>
      <c r="E12" s="5" t="s">
        <v>39</v>
      </c>
      <c r="F12" s="5" t="s">
        <v>40</v>
      </c>
      <c r="G12" s="5">
        <v>8.2758734222491039</v>
      </c>
      <c r="H12" s="6">
        <v>23.715435428392745</v>
      </c>
      <c r="I12" s="6">
        <v>0.67473490545951231</v>
      </c>
      <c r="J12" s="6">
        <v>0.92526709401709406</v>
      </c>
      <c r="K12" s="6">
        <v>0.54365284106137768</v>
      </c>
      <c r="L12" s="6">
        <v>9.1008331099794518E-2</v>
      </c>
      <c r="M12" s="6">
        <v>0.80272100866613072</v>
      </c>
    </row>
    <row r="13" spans="1:13" ht="55.2">
      <c r="A13" s="5">
        <v>8</v>
      </c>
      <c r="B13" s="7">
        <v>45</v>
      </c>
      <c r="C13" s="8">
        <v>5.2941176470588235E-2</v>
      </c>
      <c r="D13" s="5" t="s">
        <v>41</v>
      </c>
      <c r="E13" s="5" t="s">
        <v>42</v>
      </c>
      <c r="F13" s="5" t="s">
        <v>43</v>
      </c>
      <c r="G13" s="5">
        <v>8.742160256024686</v>
      </c>
      <c r="H13" s="6">
        <v>12.464461816413035</v>
      </c>
      <c r="I13" s="6">
        <v>0.72121970745155661</v>
      </c>
      <c r="J13" s="6">
        <v>0.66071968738897857</v>
      </c>
      <c r="K13" s="6">
        <v>0.54540650406504065</v>
      </c>
      <c r="L13" s="6">
        <v>6.1584670974914865E-2</v>
      </c>
      <c r="M13" s="6">
        <v>0.38089013967062746</v>
      </c>
    </row>
    <row r="14" spans="1:13" ht="55.2">
      <c r="A14" s="5">
        <v>9</v>
      </c>
      <c r="B14" s="7">
        <v>21</v>
      </c>
      <c r="C14" s="8">
        <v>2.4705882352941175E-2</v>
      </c>
      <c r="D14" s="5" t="s">
        <v>44</v>
      </c>
      <c r="E14" s="5" t="s">
        <v>45</v>
      </c>
      <c r="F14" s="5" t="s">
        <v>46</v>
      </c>
      <c r="G14" s="5">
        <v>2.5819335048255474</v>
      </c>
      <c r="H14" s="6">
        <v>18.158803865511182</v>
      </c>
      <c r="I14" s="6">
        <v>2.2806662394099964</v>
      </c>
      <c r="J14" s="6">
        <v>0.36566697299780004</v>
      </c>
      <c r="K14" s="6">
        <v>0.96046710741832697</v>
      </c>
      <c r="L14" s="6">
        <v>0.11100985735132077</v>
      </c>
      <c r="M14" s="6">
        <v>0.7542169212900921</v>
      </c>
    </row>
    <row r="15" spans="1:13" ht="41.4">
      <c r="A15" s="5">
        <v>10</v>
      </c>
      <c r="B15" s="7">
        <v>73</v>
      </c>
      <c r="C15" s="8">
        <v>8.5882352941176465E-2</v>
      </c>
      <c r="D15" s="5" t="s">
        <v>47</v>
      </c>
      <c r="E15" s="5" t="s">
        <v>48</v>
      </c>
      <c r="F15" s="5" t="s">
        <v>49</v>
      </c>
      <c r="G15" s="5">
        <v>4.8703828812966972</v>
      </c>
      <c r="H15" s="6">
        <v>7.0741623617500657</v>
      </c>
      <c r="I15" s="6">
        <v>1.6110444795373795</v>
      </c>
      <c r="J15" s="6">
        <v>0.39021302325843976</v>
      </c>
      <c r="K15" s="6">
        <v>0.69488635876875104</v>
      </c>
      <c r="L15" s="6">
        <v>3.6891636039648068E-2</v>
      </c>
      <c r="M15" s="6">
        <v>0.44035356001610598</v>
      </c>
    </row>
    <row r="16" spans="1:13" ht="55.2">
      <c r="A16" s="5">
        <v>11</v>
      </c>
      <c r="B16" s="7">
        <v>27</v>
      </c>
      <c r="C16" s="8">
        <v>3.1764705882352938E-2</v>
      </c>
      <c r="D16" s="5" t="s">
        <v>50</v>
      </c>
      <c r="E16" s="5" t="s">
        <v>51</v>
      </c>
      <c r="F16" s="5" t="s">
        <v>52</v>
      </c>
      <c r="G16" s="5">
        <v>3.9506799767536713</v>
      </c>
      <c r="H16" s="6">
        <v>10.740659671553979</v>
      </c>
      <c r="I16" s="6">
        <v>2.4331720855165915</v>
      </c>
      <c r="J16" s="6">
        <v>0.22107062416768672</v>
      </c>
      <c r="K16" s="6">
        <v>0.75784749727839162</v>
      </c>
      <c r="L16" s="6">
        <v>0.11730479697959371</v>
      </c>
      <c r="M16" s="6">
        <v>0.5795213443587427</v>
      </c>
    </row>
    <row r="17" spans="1:13" ht="55.2">
      <c r="A17" s="5">
        <v>12</v>
      </c>
      <c r="B17" s="7">
        <v>44</v>
      </c>
      <c r="C17" s="8">
        <v>5.1764705882352942E-2</v>
      </c>
      <c r="D17" s="5" t="s">
        <v>53</v>
      </c>
      <c r="E17" s="5" t="s">
        <v>54</v>
      </c>
      <c r="F17" s="5" t="s">
        <v>16</v>
      </c>
      <c r="G17" s="5">
        <v>3.2022334806796455</v>
      </c>
      <c r="H17" s="6">
        <v>23.33281027915174</v>
      </c>
      <c r="I17" s="6">
        <v>1.5644848865720404</v>
      </c>
      <c r="J17" s="6">
        <v>0.54004349234157956</v>
      </c>
      <c r="K17" s="6">
        <v>0.43307358292114384</v>
      </c>
      <c r="L17" s="6">
        <v>4.9411208709989191E-2</v>
      </c>
      <c r="M17" s="6">
        <v>0.78771675478992553</v>
      </c>
    </row>
    <row r="18" spans="1:13" ht="55.2">
      <c r="A18" s="5">
        <v>13</v>
      </c>
      <c r="B18" s="7">
        <v>22</v>
      </c>
      <c r="C18" s="8">
        <v>2.5882352941176471E-2</v>
      </c>
      <c r="D18" s="5" t="s">
        <v>55</v>
      </c>
      <c r="E18" s="5" t="s">
        <v>56</v>
      </c>
      <c r="F18" s="5" t="s">
        <v>34</v>
      </c>
      <c r="G18" s="5">
        <v>2.9543777677494081</v>
      </c>
      <c r="H18" s="6">
        <v>14.92421328671329</v>
      </c>
      <c r="I18" s="6">
        <v>1.4161469177904367</v>
      </c>
      <c r="J18" s="6">
        <v>0.54002023427015622</v>
      </c>
      <c r="K18" s="6">
        <v>0.86436480186480191</v>
      </c>
      <c r="L18" s="6">
        <v>8.1439393939393936E-2</v>
      </c>
      <c r="M18" s="6">
        <v>0.79542540792540783</v>
      </c>
    </row>
    <row r="19" spans="1:13" ht="55.2">
      <c r="A19" s="5">
        <v>14</v>
      </c>
      <c r="B19" s="7">
        <v>26</v>
      </c>
      <c r="C19" s="8">
        <v>3.0588235294117649E-2</v>
      </c>
      <c r="D19" s="5" t="s">
        <v>57</v>
      </c>
      <c r="E19" s="5" t="s">
        <v>58</v>
      </c>
      <c r="F19" s="5" t="s">
        <v>59</v>
      </c>
      <c r="G19" s="5">
        <v>1.5078668493442986</v>
      </c>
      <c r="H19" s="6">
        <v>26.151365637177079</v>
      </c>
      <c r="I19" s="6">
        <v>9.8708912044857033</v>
      </c>
      <c r="J19" s="6">
        <v>0.23054016560803892</v>
      </c>
      <c r="K19" s="6">
        <v>0.7803140183768702</v>
      </c>
      <c r="L19" s="6">
        <v>0.74511413383364611</v>
      </c>
      <c r="M19" s="6">
        <v>0.74242375042093611</v>
      </c>
    </row>
    <row r="20" spans="1:13" ht="55.2">
      <c r="A20" s="5">
        <v>15</v>
      </c>
      <c r="B20" s="7">
        <v>54</v>
      </c>
      <c r="C20" s="8">
        <v>6.3529411764705876E-2</v>
      </c>
      <c r="D20" s="5" t="s">
        <v>60</v>
      </c>
      <c r="E20" s="5" t="s">
        <v>61</v>
      </c>
      <c r="F20" s="5" t="s">
        <v>62</v>
      </c>
      <c r="G20" s="5">
        <v>3.3943942114226813</v>
      </c>
      <c r="H20" s="6">
        <v>15.100880758807589</v>
      </c>
      <c r="I20" s="6">
        <v>2.5775915093726041</v>
      </c>
      <c r="J20" s="6">
        <v>0.14128745732069672</v>
      </c>
      <c r="K20" s="6">
        <v>0.6763550135501355</v>
      </c>
      <c r="L20" s="6">
        <v>7.9878048780487793E-2</v>
      </c>
      <c r="M20" s="6">
        <v>0.44569783197831975</v>
      </c>
    </row>
    <row r="21" spans="1:13" ht="55.2">
      <c r="A21" s="5">
        <v>16</v>
      </c>
      <c r="B21" s="7">
        <v>182</v>
      </c>
      <c r="C21" s="8">
        <v>0.21411764705882352</v>
      </c>
      <c r="D21" s="5" t="s">
        <v>63</v>
      </c>
      <c r="E21" s="5" t="s">
        <v>64</v>
      </c>
      <c r="F21" s="5" t="s">
        <v>65</v>
      </c>
      <c r="G21" s="5">
        <v>6.124914920076395</v>
      </c>
      <c r="H21" s="6">
        <v>34.873715543368448</v>
      </c>
      <c r="I21" s="6">
        <v>0.93520979005794036</v>
      </c>
      <c r="J21" s="6">
        <v>0.68919122407572797</v>
      </c>
      <c r="K21" s="6">
        <v>0.39176915173631871</v>
      </c>
      <c r="L21" s="6">
        <v>0.125396195424338</v>
      </c>
      <c r="M21" s="6">
        <v>0.65057805702740035</v>
      </c>
    </row>
  </sheetData>
  <mergeCells count="2">
    <mergeCell ref="A1:M1"/>
    <mergeCell ref="A2:M2"/>
  </mergeCells>
  <phoneticPr fontId="6" type="noConversion"/>
  <conditionalFormatting sqref="I4:I2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conditionalFormatting sqref="J4:J21">
    <cfRule type="colorScale" priority="2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0"/>
  <sheetViews>
    <sheetView workbookViewId="0">
      <selection sqref="A1:AB1"/>
    </sheetView>
  </sheetViews>
  <sheetFormatPr defaultRowHeight="13.8"/>
  <cols>
    <col min="1" max="3" width="12" customWidth="1"/>
    <col min="4" max="4" width="26" customWidth="1"/>
    <col min="5" max="28" width="12" customWidth="1"/>
  </cols>
  <sheetData>
    <row r="1" spans="1:28" ht="16.8">
      <c r="A1" s="14" t="s">
        <v>66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 spans="1:28">
      <c r="A2" s="2" t="s">
        <v>67</v>
      </c>
      <c r="B2" s="2" t="s">
        <v>68</v>
      </c>
      <c r="C2" s="2" t="s">
        <v>69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 t="s">
        <v>76</v>
      </c>
      <c r="K2" s="2" t="s">
        <v>77</v>
      </c>
      <c r="L2" s="2" t="s">
        <v>78</v>
      </c>
      <c r="M2" s="2" t="s">
        <v>79</v>
      </c>
      <c r="N2" s="2" t="s">
        <v>80</v>
      </c>
      <c r="O2" s="2" t="s">
        <v>81</v>
      </c>
      <c r="P2" s="2" t="s">
        <v>82</v>
      </c>
      <c r="Q2" s="2" t="s">
        <v>83</v>
      </c>
      <c r="R2" s="2" t="s">
        <v>84</v>
      </c>
      <c r="S2" s="2" t="s">
        <v>85</v>
      </c>
      <c r="T2" s="2" t="s">
        <v>86</v>
      </c>
      <c r="U2" s="2" t="s">
        <v>87</v>
      </c>
      <c r="V2" s="2" t="s">
        <v>88</v>
      </c>
      <c r="W2" s="2" t="s">
        <v>89</v>
      </c>
      <c r="X2" s="2" t="s">
        <v>90</v>
      </c>
      <c r="Y2" s="2" t="s">
        <v>91</v>
      </c>
      <c r="Z2" s="2" t="s">
        <v>92</v>
      </c>
      <c r="AA2" s="2" t="s">
        <v>93</v>
      </c>
      <c r="AB2" s="2" t="s">
        <v>94</v>
      </c>
    </row>
    <row r="3" spans="1:28">
      <c r="A3" s="4">
        <v>-1</v>
      </c>
      <c r="B3" s="10">
        <v>55</v>
      </c>
      <c r="C3" s="11">
        <v>6.4705882352941183E-2</v>
      </c>
      <c r="D3" s="4" t="s">
        <v>14</v>
      </c>
      <c r="E3" s="9">
        <v>40.200000000000003</v>
      </c>
      <c r="F3" s="9">
        <v>1.29430132153487</v>
      </c>
      <c r="G3" s="9">
        <v>2.2188455992213147</v>
      </c>
      <c r="H3" s="9">
        <v>0.45745699401255296</v>
      </c>
      <c r="I3" s="9">
        <v>20.995320370686226</v>
      </c>
      <c r="J3" s="9">
        <v>29.181818181818183</v>
      </c>
      <c r="K3" s="9">
        <v>5.1074990990424638</v>
      </c>
      <c r="L3" s="9">
        <v>2.4614232759771286</v>
      </c>
      <c r="M3" s="9">
        <v>0.36511285462504972</v>
      </c>
      <c r="N3" s="9">
        <v>5.4793981921326269</v>
      </c>
      <c r="O3" s="9">
        <v>2.3036589425382381</v>
      </c>
      <c r="P3" s="9">
        <v>0.24671633301693463</v>
      </c>
      <c r="Q3" s="9">
        <v>2.0630860170433722</v>
      </c>
      <c r="R3" s="9">
        <v>2.7442031652557954E-2</v>
      </c>
      <c r="S3" s="9">
        <v>1.2815764720528688</v>
      </c>
      <c r="T3" s="9">
        <v>0.97051424185570534</v>
      </c>
      <c r="U3" s="9">
        <v>0.63305759281369045</v>
      </c>
      <c r="V3" s="9">
        <v>1.3546353191276685</v>
      </c>
      <c r="W3" s="9">
        <v>0.54750756883595753</v>
      </c>
      <c r="X3" s="9">
        <v>0.90687702541361082</v>
      </c>
      <c r="Y3" s="9">
        <v>0.29860509409289898</v>
      </c>
      <c r="Z3" s="9">
        <v>0.22473762010347373</v>
      </c>
      <c r="AA3" s="9">
        <v>0</v>
      </c>
      <c r="AB3" s="9">
        <v>0.14270652112115526</v>
      </c>
    </row>
    <row r="4" spans="1:28">
      <c r="A4" s="4">
        <v>0</v>
      </c>
      <c r="B4" s="10">
        <v>72</v>
      </c>
      <c r="C4" s="11">
        <v>8.4705882352941173E-2</v>
      </c>
      <c r="D4" s="4" t="s">
        <v>17</v>
      </c>
      <c r="E4" s="9">
        <v>40.319444444444443</v>
      </c>
      <c r="F4" s="9">
        <v>1.3060294549589584</v>
      </c>
      <c r="G4" s="9">
        <v>1.9877819921509794</v>
      </c>
      <c r="H4" s="9">
        <v>0.35024882890135728</v>
      </c>
      <c r="I4" s="9">
        <v>19.206068680077827</v>
      </c>
      <c r="J4" s="9">
        <v>21.833333333333332</v>
      </c>
      <c r="K4" s="9">
        <v>1.7304038728928062</v>
      </c>
      <c r="L4" s="9">
        <v>2.1846193359480668</v>
      </c>
      <c r="M4" s="9">
        <v>0.72947154471544717</v>
      </c>
      <c r="N4" s="9">
        <v>5.6105678985807303E-2</v>
      </c>
      <c r="O4" s="9">
        <v>0.10508299273494641</v>
      </c>
      <c r="P4" s="9">
        <v>6.0711106485051188E-3</v>
      </c>
      <c r="Q4" s="9">
        <v>0.12928587866104407</v>
      </c>
      <c r="R4" s="9">
        <v>0</v>
      </c>
      <c r="S4" s="9">
        <v>2.3457526802936814E-2</v>
      </c>
      <c r="T4" s="9">
        <v>0.97241657112083935</v>
      </c>
      <c r="U4" s="9">
        <v>0.85753986866791743</v>
      </c>
      <c r="V4" s="9">
        <v>29.133151367427129</v>
      </c>
      <c r="W4" s="9">
        <v>0</v>
      </c>
      <c r="X4" s="9">
        <v>0.9559366531165312</v>
      </c>
      <c r="Y4" s="9">
        <v>0.31792939163365991</v>
      </c>
      <c r="Z4" s="9">
        <v>0.18911754742547426</v>
      </c>
      <c r="AA4" s="9">
        <v>0</v>
      </c>
      <c r="AB4" s="9">
        <v>7.2916666666666668E-3</v>
      </c>
    </row>
    <row r="5" spans="1:28">
      <c r="A5" s="4">
        <v>1</v>
      </c>
      <c r="B5" s="10">
        <v>32</v>
      </c>
      <c r="C5" s="11">
        <v>3.7647058823529408E-2</v>
      </c>
      <c r="D5" s="4" t="s">
        <v>20</v>
      </c>
      <c r="E5" s="9">
        <v>40.21875</v>
      </c>
      <c r="F5" s="9">
        <v>3.1349408030594326</v>
      </c>
      <c r="G5" s="9">
        <v>7.1318363203017325</v>
      </c>
      <c r="H5" s="9">
        <v>1.8589989721756903</v>
      </c>
      <c r="I5" s="9">
        <v>3.0386970372107567</v>
      </c>
      <c r="J5" s="9">
        <v>5.5</v>
      </c>
      <c r="K5" s="9">
        <v>1.388109814647051</v>
      </c>
      <c r="L5" s="9">
        <v>2.2702820983060086</v>
      </c>
      <c r="M5" s="9">
        <v>0.23290630863039399</v>
      </c>
      <c r="N5" s="9">
        <v>7.1476101360882129</v>
      </c>
      <c r="O5" s="9">
        <v>1.6471853463175163</v>
      </c>
      <c r="P5" s="9">
        <v>0.368636899902479</v>
      </c>
      <c r="Q5" s="9">
        <v>2.5521672881344939</v>
      </c>
      <c r="R5" s="9">
        <v>1.9072621457489867E-2</v>
      </c>
      <c r="S5" s="9">
        <v>1.7202175507558299</v>
      </c>
      <c r="T5" s="9">
        <v>0.47048692542213882</v>
      </c>
      <c r="U5" s="9">
        <v>0.13544940196998123</v>
      </c>
      <c r="V5" s="9">
        <v>5.9099602654663839</v>
      </c>
      <c r="W5" s="9">
        <v>0.28949908823607068</v>
      </c>
      <c r="X5" s="9">
        <v>0.39197936210131334</v>
      </c>
      <c r="Y5" s="9">
        <v>8.2271634615384615E-2</v>
      </c>
      <c r="Z5" s="9">
        <v>9.9079014227642273E-2</v>
      </c>
      <c r="AA5" s="9">
        <v>0</v>
      </c>
      <c r="AB5" s="9">
        <v>5.8993902439024387E-2</v>
      </c>
    </row>
    <row r="6" spans="1:28">
      <c r="A6" s="4">
        <v>2</v>
      </c>
      <c r="B6" s="10">
        <v>35</v>
      </c>
      <c r="C6" s="11">
        <v>4.1176470588235294E-2</v>
      </c>
      <c r="D6" s="4" t="s">
        <v>23</v>
      </c>
      <c r="E6" s="9">
        <v>40.114285714285714</v>
      </c>
      <c r="F6" s="9">
        <v>3.7490991575270778</v>
      </c>
      <c r="G6" s="9">
        <v>5.6795460199755041</v>
      </c>
      <c r="H6" s="9">
        <v>1.0262141747800035</v>
      </c>
      <c r="I6" s="9">
        <v>17.225221567050834</v>
      </c>
      <c r="J6" s="9">
        <v>23</v>
      </c>
      <c r="K6" s="9">
        <v>3.168235061119125</v>
      </c>
      <c r="L6" s="9">
        <v>3.977816501640882</v>
      </c>
      <c r="M6" s="9">
        <v>0.34140980970249263</v>
      </c>
      <c r="N6" s="9">
        <v>3.1849563501923939</v>
      </c>
      <c r="O6" s="9">
        <v>2.1505226485016515</v>
      </c>
      <c r="P6" s="9">
        <v>0.26441374557426939</v>
      </c>
      <c r="Q6" s="9">
        <v>1.1542227581883446</v>
      </c>
      <c r="R6" s="9">
        <v>7.3260073260073173E-3</v>
      </c>
      <c r="S6" s="9">
        <v>0.82203659606830648</v>
      </c>
      <c r="T6" s="9">
        <v>0.97149647100866621</v>
      </c>
      <c r="U6" s="9">
        <v>0.67784106137764677</v>
      </c>
      <c r="V6" s="9">
        <v>8.2330075988023932</v>
      </c>
      <c r="W6" s="9">
        <v>0.19124448789862322</v>
      </c>
      <c r="X6" s="9">
        <v>0.90977262574823548</v>
      </c>
      <c r="Y6" s="9">
        <v>9.8902439024390235E-2</v>
      </c>
      <c r="Z6" s="9">
        <v>0.3979268292682927</v>
      </c>
      <c r="AA6" s="9">
        <v>0</v>
      </c>
      <c r="AB6" s="9">
        <v>0.10141651031894934</v>
      </c>
    </row>
    <row r="7" spans="1:28">
      <c r="A7" s="4">
        <v>3</v>
      </c>
      <c r="B7" s="10">
        <v>66</v>
      </c>
      <c r="C7" s="11">
        <v>7.7647058823529416E-2</v>
      </c>
      <c r="D7" s="4" t="s">
        <v>26</v>
      </c>
      <c r="E7" s="9">
        <v>40.257575757575758</v>
      </c>
      <c r="F7" s="9">
        <v>4.2724011345296358</v>
      </c>
      <c r="G7" s="9">
        <v>7.5485814792748203</v>
      </c>
      <c r="H7" s="9">
        <v>1.5903634091180223</v>
      </c>
      <c r="I7" s="9">
        <v>8.7793284628650472</v>
      </c>
      <c r="J7" s="9">
        <v>13.681818181818182</v>
      </c>
      <c r="K7" s="9">
        <v>2.625869903289928</v>
      </c>
      <c r="L7" s="9">
        <v>3.966177404820086</v>
      </c>
      <c r="M7" s="9">
        <v>0.31674934144446337</v>
      </c>
      <c r="N7" s="9">
        <v>8.6382966166013482</v>
      </c>
      <c r="O7" s="9">
        <v>1.8342943242423104</v>
      </c>
      <c r="P7" s="9">
        <v>0.39305244064409095</v>
      </c>
      <c r="Q7" s="9">
        <v>3.2351225329594189</v>
      </c>
      <c r="R7" s="9">
        <v>2.694403549666706E-2</v>
      </c>
      <c r="S7" s="9">
        <v>1.4017145347272637</v>
      </c>
      <c r="T7" s="9">
        <v>0.94434495044251143</v>
      </c>
      <c r="U7" s="9">
        <v>0.38464689104933009</v>
      </c>
      <c r="V7" s="9">
        <v>1.531848932400715</v>
      </c>
      <c r="W7" s="9">
        <v>0.3465816194960803</v>
      </c>
      <c r="X7" s="9">
        <v>0.62912047302291207</v>
      </c>
      <c r="Y7" s="9">
        <v>0.13773973316656243</v>
      </c>
      <c r="Z7" s="9">
        <v>0.19492793791574278</v>
      </c>
      <c r="AA7" s="9">
        <v>0</v>
      </c>
      <c r="AB7" s="9">
        <v>4.7095485814998006E-2</v>
      </c>
    </row>
    <row r="8" spans="1:28">
      <c r="A8" s="4">
        <v>4</v>
      </c>
      <c r="B8" s="10">
        <v>20</v>
      </c>
      <c r="C8" s="11">
        <v>2.3529411764705882E-2</v>
      </c>
      <c r="D8" s="4" t="s">
        <v>29</v>
      </c>
      <c r="E8" s="9">
        <v>40.450000000000003</v>
      </c>
      <c r="F8" s="9">
        <v>0.75603611970546569</v>
      </c>
      <c r="G8" s="9">
        <v>1.1626690328692793</v>
      </c>
      <c r="H8" s="9">
        <v>0.18236003200179307</v>
      </c>
      <c r="I8" s="9">
        <v>25.299527829893684</v>
      </c>
      <c r="J8" s="9">
        <v>33</v>
      </c>
      <c r="K8" s="9">
        <v>4.389890063555951</v>
      </c>
      <c r="L8" s="9">
        <v>1.6314918007522192</v>
      </c>
      <c r="M8" s="9">
        <v>0.71347013758599132</v>
      </c>
      <c r="N8" s="9">
        <v>5.3275034963912935</v>
      </c>
      <c r="O8" s="9">
        <v>1.8154598329949194</v>
      </c>
      <c r="P8" s="9">
        <v>0.29005900150714037</v>
      </c>
      <c r="Q8" s="9">
        <v>1.9331906401289083</v>
      </c>
      <c r="R8" s="9">
        <v>1.5193994601889329E-2</v>
      </c>
      <c r="S8" s="9">
        <v>1.2046211108771456</v>
      </c>
      <c r="T8" s="9">
        <v>0.97527126328955593</v>
      </c>
      <c r="U8" s="9">
        <v>0.67497185741088184</v>
      </c>
      <c r="V8" s="9">
        <v>0.849352517267425</v>
      </c>
      <c r="W8" s="9">
        <v>0.65261367686103466</v>
      </c>
      <c r="X8" s="9">
        <v>0.93769308943089436</v>
      </c>
      <c r="Y8" s="9">
        <v>0.43432926829268298</v>
      </c>
      <c r="Z8" s="9">
        <v>0.79715838023764851</v>
      </c>
      <c r="AA8" s="9">
        <v>0</v>
      </c>
      <c r="AB8" s="9">
        <v>0.19103658536585366</v>
      </c>
    </row>
    <row r="9" spans="1:28">
      <c r="A9" s="4">
        <v>5</v>
      </c>
      <c r="B9" s="10">
        <v>21</v>
      </c>
      <c r="C9" s="11">
        <v>2.4705882352941175E-2</v>
      </c>
      <c r="D9" s="4" t="s">
        <v>32</v>
      </c>
      <c r="E9" s="9">
        <v>39.857142857142854</v>
      </c>
      <c r="F9" s="9">
        <v>1.1184934403313134</v>
      </c>
      <c r="G9" s="9">
        <v>2.0557209126392464</v>
      </c>
      <c r="H9" s="9">
        <v>0.37572958420613228</v>
      </c>
      <c r="I9" s="9">
        <v>18.714613299979153</v>
      </c>
      <c r="J9" s="9">
        <v>27.095238095238095</v>
      </c>
      <c r="K9" s="9">
        <v>4.9666656502172382</v>
      </c>
      <c r="L9" s="9">
        <v>1.8347143291376606</v>
      </c>
      <c r="M9" s="9">
        <v>0.7807997557997558</v>
      </c>
      <c r="N9" s="9">
        <v>4.976436268183547</v>
      </c>
      <c r="O9" s="9">
        <v>2.9026819871273362</v>
      </c>
      <c r="P9" s="9">
        <v>0.41497281375489414</v>
      </c>
      <c r="Q9" s="9">
        <v>1.121597097026201</v>
      </c>
      <c r="R9" s="9">
        <v>6.201400938243039E-3</v>
      </c>
      <c r="S9" s="9">
        <v>1.5140749445360124</v>
      </c>
      <c r="T9" s="9">
        <v>0.94138896334018285</v>
      </c>
      <c r="U9" s="9">
        <v>0.66408171774025437</v>
      </c>
      <c r="V9" s="9">
        <v>0.8992013153488726</v>
      </c>
      <c r="W9" s="9">
        <v>0.61086733490241829</v>
      </c>
      <c r="X9" s="9">
        <v>0.95927663122785078</v>
      </c>
      <c r="Y9" s="9">
        <v>0.5755494505494505</v>
      </c>
      <c r="Z9" s="9">
        <v>0.10940170940170939</v>
      </c>
      <c r="AA9" s="9">
        <v>0</v>
      </c>
      <c r="AB9" s="9">
        <v>0.18527427856696149</v>
      </c>
    </row>
    <row r="10" spans="1:28">
      <c r="A10" s="4">
        <v>6</v>
      </c>
      <c r="B10" s="10">
        <v>27</v>
      </c>
      <c r="C10" s="11">
        <v>3.1764705882352938E-2</v>
      </c>
      <c r="D10" s="4" t="s">
        <v>35</v>
      </c>
      <c r="E10" s="9">
        <v>40.333333333333336</v>
      </c>
      <c r="F10" s="9">
        <v>1.3927869219262461</v>
      </c>
      <c r="G10" s="9">
        <v>2.5926098010459873</v>
      </c>
      <c r="H10" s="9">
        <v>0.50869456100253074</v>
      </c>
      <c r="I10" s="9">
        <v>5.8727868112014452</v>
      </c>
      <c r="J10" s="9">
        <v>9.8148148148148149</v>
      </c>
      <c r="K10" s="9">
        <v>2.0985099693491462</v>
      </c>
      <c r="L10" s="9">
        <v>2.5087411343751027</v>
      </c>
      <c r="M10" s="9">
        <v>0.20770099367660341</v>
      </c>
      <c r="N10" s="9">
        <v>7.6496306548428104</v>
      </c>
      <c r="O10" s="9">
        <v>1.5941134235599477</v>
      </c>
      <c r="P10" s="9">
        <v>0.35904657294180259</v>
      </c>
      <c r="Q10" s="9">
        <v>2.7423631744500589</v>
      </c>
      <c r="R10" s="9">
        <v>1.9729344729344709E-2</v>
      </c>
      <c r="S10" s="9">
        <v>0.65604568222994164</v>
      </c>
      <c r="T10" s="9">
        <v>0.91908310749774169</v>
      </c>
      <c r="U10" s="9">
        <v>0.29514453477868113</v>
      </c>
      <c r="V10" s="9">
        <v>0.95997173400854385</v>
      </c>
      <c r="W10" s="9">
        <v>0.40687863183732537</v>
      </c>
      <c r="X10" s="9">
        <v>0.19573170731707315</v>
      </c>
      <c r="Y10" s="9">
        <v>0.2710252935862692</v>
      </c>
      <c r="Z10" s="9">
        <v>0.269873532068654</v>
      </c>
      <c r="AA10" s="9">
        <v>0</v>
      </c>
      <c r="AB10" s="9">
        <v>2.0280036133694671E-2</v>
      </c>
    </row>
    <row r="11" spans="1:28">
      <c r="A11" s="4">
        <v>7</v>
      </c>
      <c r="B11" s="10">
        <v>28</v>
      </c>
      <c r="C11" s="11">
        <v>3.2941176470588238E-2</v>
      </c>
      <c r="D11" s="4" t="s">
        <v>38</v>
      </c>
      <c r="E11" s="9">
        <v>40.178571428571431</v>
      </c>
      <c r="F11" s="9">
        <v>1.4138899736711412</v>
      </c>
      <c r="G11" s="9">
        <v>2.4785124459420529</v>
      </c>
      <c r="H11" s="9">
        <v>0.47744855513504819</v>
      </c>
      <c r="I11" s="9">
        <v>23.715435428392745</v>
      </c>
      <c r="J11" s="9">
        <v>31.357142857142858</v>
      </c>
      <c r="K11" s="9">
        <v>4.4060231757841342</v>
      </c>
      <c r="L11" s="9">
        <v>2.8646618974120668</v>
      </c>
      <c r="M11" s="9">
        <v>0.54365284106137768</v>
      </c>
      <c r="N11" s="9">
        <v>8.2758734222491039</v>
      </c>
      <c r="O11" s="9">
        <v>1.1587565577232541</v>
      </c>
      <c r="P11" s="9">
        <v>0.40005052677975222</v>
      </c>
      <c r="Q11" s="9">
        <v>2.8292972748152776</v>
      </c>
      <c r="R11" s="9">
        <v>2.6490505108926126E-2</v>
      </c>
      <c r="S11" s="9">
        <v>0.31871434475647603</v>
      </c>
      <c r="T11" s="9">
        <v>0.97510776824801215</v>
      </c>
      <c r="U11" s="9">
        <v>0.80272100866613072</v>
      </c>
      <c r="V11" s="9">
        <v>0.67473490545951231</v>
      </c>
      <c r="W11" s="9">
        <v>0.92526709401709406</v>
      </c>
      <c r="X11" s="9">
        <v>0.87332652103993558</v>
      </c>
      <c r="Y11" s="9">
        <v>0.31890243902439025</v>
      </c>
      <c r="Z11" s="9">
        <v>3.8109756097560975E-2</v>
      </c>
      <c r="AA11" s="9">
        <v>0</v>
      </c>
      <c r="AB11" s="9">
        <v>9.1008331099794518E-2</v>
      </c>
    </row>
    <row r="12" spans="1:28">
      <c r="A12" s="4">
        <v>8</v>
      </c>
      <c r="B12" s="10">
        <v>45</v>
      </c>
      <c r="C12" s="11">
        <v>5.2941176470588235E-2</v>
      </c>
      <c r="D12" s="4" t="s">
        <v>41</v>
      </c>
      <c r="E12" s="9">
        <v>39.799999999999997</v>
      </c>
      <c r="F12" s="9">
        <v>0.89349096883695767</v>
      </c>
      <c r="G12" s="9">
        <v>1.9901060489485429</v>
      </c>
      <c r="H12" s="9">
        <v>0.43080240158967775</v>
      </c>
      <c r="I12" s="9">
        <v>12.464461816413035</v>
      </c>
      <c r="J12" s="9">
        <v>19.044444444444444</v>
      </c>
      <c r="K12" s="9">
        <v>3.8288454618223557</v>
      </c>
      <c r="L12" s="9">
        <v>1.9085869436963567</v>
      </c>
      <c r="M12" s="9">
        <v>0.54540650406504065</v>
      </c>
      <c r="N12" s="9">
        <v>8.742160256024686</v>
      </c>
      <c r="O12" s="9">
        <v>1.4734639191182566</v>
      </c>
      <c r="P12" s="9">
        <v>0.46980593305127499</v>
      </c>
      <c r="Q12" s="9">
        <v>3.3453379801189063</v>
      </c>
      <c r="R12" s="9">
        <v>7.3274104063577705E-2</v>
      </c>
      <c r="S12" s="9">
        <v>0.84465382018191315</v>
      </c>
      <c r="T12" s="9">
        <v>0.9427103745396429</v>
      </c>
      <c r="U12" s="9">
        <v>0.38089013967062746</v>
      </c>
      <c r="V12" s="9">
        <v>0.72121970745155661</v>
      </c>
      <c r="W12" s="9">
        <v>0.66071968738897857</v>
      </c>
      <c r="X12" s="9">
        <v>0.88364776596483918</v>
      </c>
      <c r="Y12" s="9">
        <v>0.39420019456604821</v>
      </c>
      <c r="Z12" s="9">
        <v>0.26760023625877288</v>
      </c>
      <c r="AA12" s="9">
        <v>0</v>
      </c>
      <c r="AB12" s="9">
        <v>6.1584670974914865E-2</v>
      </c>
    </row>
    <row r="13" spans="1:28">
      <c r="A13" s="4">
        <v>9</v>
      </c>
      <c r="B13" s="10">
        <v>21</v>
      </c>
      <c r="C13" s="11">
        <v>2.4705882352941175E-2</v>
      </c>
      <c r="D13" s="4" t="s">
        <v>44</v>
      </c>
      <c r="E13" s="9">
        <v>39.904761904761905</v>
      </c>
      <c r="F13" s="9">
        <v>0.86127413672507391</v>
      </c>
      <c r="G13" s="9">
        <v>1.3295581594715982</v>
      </c>
      <c r="H13" s="9">
        <v>0.20980011186868541</v>
      </c>
      <c r="I13" s="9">
        <v>18.158803865511182</v>
      </c>
      <c r="J13" s="9">
        <v>22.857142857142858</v>
      </c>
      <c r="K13" s="9">
        <v>2.9038375746781719</v>
      </c>
      <c r="L13" s="9">
        <v>1.4220468390071641</v>
      </c>
      <c r="M13" s="9">
        <v>0.96046710741832697</v>
      </c>
      <c r="N13" s="9">
        <v>2.5819335048255474</v>
      </c>
      <c r="O13" s="9">
        <v>1.6907408071912315</v>
      </c>
      <c r="P13" s="9">
        <v>0.1044137650763808</v>
      </c>
      <c r="Q13" s="9">
        <v>1.6144229781210795</v>
      </c>
      <c r="R13" s="9">
        <v>3.7593984962406E-3</v>
      </c>
      <c r="S13" s="9">
        <v>1.2474670694733709</v>
      </c>
      <c r="T13" s="9">
        <v>0.97493448286131212</v>
      </c>
      <c r="U13" s="9">
        <v>0.7542169212900921</v>
      </c>
      <c r="V13" s="9">
        <v>2.2806662394099964</v>
      </c>
      <c r="W13" s="9">
        <v>0.36566697299780004</v>
      </c>
      <c r="X13" s="9">
        <v>0.96761294261294262</v>
      </c>
      <c r="Y13" s="9">
        <v>0.94183790464278261</v>
      </c>
      <c r="Z13" s="9">
        <v>0.19722222222222222</v>
      </c>
      <c r="AA13" s="9">
        <v>0</v>
      </c>
      <c r="AB13" s="9">
        <v>0.11100985735132077</v>
      </c>
    </row>
    <row r="14" spans="1:28">
      <c r="A14" s="4">
        <v>10</v>
      </c>
      <c r="B14" s="10">
        <v>73</v>
      </c>
      <c r="C14" s="11">
        <v>8.5882352941176465E-2</v>
      </c>
      <c r="D14" s="4" t="s">
        <v>47</v>
      </c>
      <c r="E14" s="9">
        <v>39.849315068493148</v>
      </c>
      <c r="F14" s="9">
        <v>0.81245901473572468</v>
      </c>
      <c r="G14" s="9">
        <v>1.4858777317674987</v>
      </c>
      <c r="H14" s="9">
        <v>0.2852006384499709</v>
      </c>
      <c r="I14" s="9">
        <v>7.0741623617500657</v>
      </c>
      <c r="J14" s="9">
        <v>10.506849315068493</v>
      </c>
      <c r="K14" s="9">
        <v>2.1061946740640058</v>
      </c>
      <c r="L14" s="9">
        <v>1.2197238150025045</v>
      </c>
      <c r="M14" s="9">
        <v>0.69488635876875104</v>
      </c>
      <c r="N14" s="9">
        <v>4.8703828812966972</v>
      </c>
      <c r="O14" s="9">
        <v>1.8203573895436902</v>
      </c>
      <c r="P14" s="9">
        <v>0.23858351364916863</v>
      </c>
      <c r="Q14" s="9">
        <v>2.024075686345713</v>
      </c>
      <c r="R14" s="9">
        <v>1.417980562746475E-2</v>
      </c>
      <c r="S14" s="9">
        <v>1.7913087508553716</v>
      </c>
      <c r="T14" s="9">
        <v>0.84868882092403641</v>
      </c>
      <c r="U14" s="9">
        <v>0.44035356001610598</v>
      </c>
      <c r="V14" s="9">
        <v>1.6110444795373795</v>
      </c>
      <c r="W14" s="9">
        <v>0.39021302325843976</v>
      </c>
      <c r="X14" s="9">
        <v>0.23127313089516566</v>
      </c>
      <c r="Y14" s="9">
        <v>0.33348047152758148</v>
      </c>
      <c r="Z14" s="9">
        <v>0.29769895782466782</v>
      </c>
      <c r="AA14" s="9">
        <v>0</v>
      </c>
      <c r="AB14" s="9">
        <v>3.6891636039648068E-2</v>
      </c>
    </row>
    <row r="15" spans="1:28">
      <c r="A15" s="4">
        <v>11</v>
      </c>
      <c r="B15" s="10">
        <v>27</v>
      </c>
      <c r="C15" s="11">
        <v>3.1764705882352938E-2</v>
      </c>
      <c r="D15" s="4" t="s">
        <v>50</v>
      </c>
      <c r="E15" s="9">
        <v>40.25925925925926</v>
      </c>
      <c r="F15" s="9">
        <v>1.108681936346043</v>
      </c>
      <c r="G15" s="9">
        <v>1.8353832268263202</v>
      </c>
      <c r="H15" s="9">
        <v>0.3673793336044085</v>
      </c>
      <c r="I15" s="9">
        <v>10.740659671553979</v>
      </c>
      <c r="J15" s="9">
        <v>14</v>
      </c>
      <c r="K15" s="9">
        <v>1.841859190655686</v>
      </c>
      <c r="L15" s="9">
        <v>1.7328535033832917</v>
      </c>
      <c r="M15" s="9">
        <v>0.75784749727839162</v>
      </c>
      <c r="N15" s="9">
        <v>3.9506799767536713</v>
      </c>
      <c r="O15" s="9">
        <v>1.7967724130712257</v>
      </c>
      <c r="P15" s="9">
        <v>0.26867064330799173</v>
      </c>
      <c r="Q15" s="9">
        <v>1.8169299134684278</v>
      </c>
      <c r="R15" s="9">
        <v>4.7733293347328376E-3</v>
      </c>
      <c r="S15" s="9">
        <v>2.8975445432457172</v>
      </c>
      <c r="T15" s="9">
        <v>0.96119681282282909</v>
      </c>
      <c r="U15" s="9">
        <v>0.5795213443587427</v>
      </c>
      <c r="V15" s="9">
        <v>2.4331720855165915</v>
      </c>
      <c r="W15" s="9">
        <v>0.22107062416768672</v>
      </c>
      <c r="X15" s="9">
        <v>0.88658189145994026</v>
      </c>
      <c r="Y15" s="9">
        <v>0.13910603849628239</v>
      </c>
      <c r="Z15" s="9">
        <v>0.83392455933106346</v>
      </c>
      <c r="AA15" s="9">
        <v>0</v>
      </c>
      <c r="AB15" s="9">
        <v>0.11730479697959371</v>
      </c>
    </row>
    <row r="16" spans="1:28">
      <c r="A16" s="4">
        <v>12</v>
      </c>
      <c r="B16" s="10">
        <v>44</v>
      </c>
      <c r="C16" s="11">
        <v>5.1764705882352942E-2</v>
      </c>
      <c r="D16" s="4" t="s">
        <v>53</v>
      </c>
      <c r="E16" s="9">
        <v>40.045454545454547</v>
      </c>
      <c r="F16" s="9">
        <v>1.0267163032002569</v>
      </c>
      <c r="G16" s="9">
        <v>1.7490508225535129</v>
      </c>
      <c r="H16" s="9">
        <v>0.35085390112814019</v>
      </c>
      <c r="I16" s="9">
        <v>23.33281027915174</v>
      </c>
      <c r="J16" s="9">
        <v>27.90909090909091</v>
      </c>
      <c r="K16" s="9">
        <v>2.8182639341409619</v>
      </c>
      <c r="L16" s="9">
        <v>2.0352034584251886</v>
      </c>
      <c r="M16" s="9">
        <v>0.43307358292114384</v>
      </c>
      <c r="N16" s="9">
        <v>3.2022334806796455</v>
      </c>
      <c r="O16" s="9">
        <v>2.2243828779997754</v>
      </c>
      <c r="P16" s="9">
        <v>7.4871348418676334E-2</v>
      </c>
      <c r="Q16" s="9">
        <v>2.0138444019712991</v>
      </c>
      <c r="R16" s="9">
        <v>7.5627223653539355E-3</v>
      </c>
      <c r="S16" s="9">
        <v>0.6632072952564545</v>
      </c>
      <c r="T16" s="9">
        <v>0.97502345215759856</v>
      </c>
      <c r="U16" s="9">
        <v>0.78771675478992553</v>
      </c>
      <c r="V16" s="9">
        <v>1.5644848865720404</v>
      </c>
      <c r="W16" s="9">
        <v>0.54004349234157956</v>
      </c>
      <c r="X16" s="9">
        <v>0.97014966740576503</v>
      </c>
      <c r="Y16" s="9">
        <v>3.6931818181818184E-2</v>
      </c>
      <c r="Z16" s="9">
        <v>4.4872505543237247E-2</v>
      </c>
      <c r="AA16" s="9">
        <v>0</v>
      </c>
      <c r="AB16" s="9">
        <v>4.9411208709989191E-2</v>
      </c>
    </row>
    <row r="17" spans="1:28">
      <c r="A17" s="4">
        <v>13</v>
      </c>
      <c r="B17" s="10">
        <v>22</v>
      </c>
      <c r="C17" s="11">
        <v>2.5882352941176471E-2</v>
      </c>
      <c r="D17" s="4" t="s">
        <v>55</v>
      </c>
      <c r="E17" s="9">
        <v>39.454545454545453</v>
      </c>
      <c r="F17" s="9">
        <v>1.0665259110700589</v>
      </c>
      <c r="G17" s="9">
        <v>1.7399262738997785</v>
      </c>
      <c r="H17" s="9">
        <v>0.31589274411265023</v>
      </c>
      <c r="I17" s="9">
        <v>14.92421328671329</v>
      </c>
      <c r="J17" s="9">
        <v>19.363636363636363</v>
      </c>
      <c r="K17" s="9">
        <v>2.2418480776358676</v>
      </c>
      <c r="L17" s="9">
        <v>1.7505180865827021</v>
      </c>
      <c r="M17" s="9">
        <v>0.86436480186480191</v>
      </c>
      <c r="N17" s="9">
        <v>2.9543777677494081</v>
      </c>
      <c r="O17" s="9">
        <v>1.5983303126020643</v>
      </c>
      <c r="P17" s="9">
        <v>0.11496948257349714</v>
      </c>
      <c r="Q17" s="9">
        <v>1.6068020991305212</v>
      </c>
      <c r="R17" s="9">
        <v>5.9195190774138087E-3</v>
      </c>
      <c r="S17" s="9">
        <v>0.64276565829223131</v>
      </c>
      <c r="T17" s="9">
        <v>0.97465034965034969</v>
      </c>
      <c r="U17" s="9">
        <v>0.79542540792540783</v>
      </c>
      <c r="V17" s="9">
        <v>1.4161469177904367</v>
      </c>
      <c r="W17" s="9">
        <v>0.54002023427015622</v>
      </c>
      <c r="X17" s="9">
        <v>0.9988636363636364</v>
      </c>
      <c r="Y17" s="9">
        <v>4.7261072261072255E-2</v>
      </c>
      <c r="Z17" s="9">
        <v>0.10673076923076921</v>
      </c>
      <c r="AA17" s="9">
        <v>0</v>
      </c>
      <c r="AB17" s="9">
        <v>8.1439393939393936E-2</v>
      </c>
    </row>
    <row r="18" spans="1:28">
      <c r="A18" s="4">
        <v>14</v>
      </c>
      <c r="B18" s="10">
        <v>26</v>
      </c>
      <c r="C18" s="11">
        <v>3.0588235294117649E-2</v>
      </c>
      <c r="D18" s="4" t="s">
        <v>57</v>
      </c>
      <c r="E18" s="9">
        <v>40.192307692307693</v>
      </c>
      <c r="F18" s="9">
        <v>1.3843049604718152</v>
      </c>
      <c r="G18" s="9">
        <v>1.9641197561885222</v>
      </c>
      <c r="H18" s="9">
        <v>0.3032491626019036</v>
      </c>
      <c r="I18" s="9">
        <v>26.151365637177079</v>
      </c>
      <c r="J18" s="9">
        <v>30.96153846153846</v>
      </c>
      <c r="K18" s="9">
        <v>3.1262831567384217</v>
      </c>
      <c r="L18" s="9">
        <v>2.2901182914604687</v>
      </c>
      <c r="M18" s="9">
        <v>0.7803140183768702</v>
      </c>
      <c r="N18" s="9">
        <v>1.5078668493442986</v>
      </c>
      <c r="O18" s="9">
        <v>1.2249707890006971</v>
      </c>
      <c r="P18" s="9">
        <v>0.16034560809078618</v>
      </c>
      <c r="Q18" s="9">
        <v>0.80554375952438684</v>
      </c>
      <c r="R18" s="9">
        <v>0</v>
      </c>
      <c r="S18" s="9">
        <v>0.95446414934084622</v>
      </c>
      <c r="T18" s="9">
        <v>0.97511365276374662</v>
      </c>
      <c r="U18" s="9">
        <v>0.74242375042093611</v>
      </c>
      <c r="V18" s="9">
        <v>9.8708912044857033</v>
      </c>
      <c r="W18" s="9">
        <v>0.23054016560803892</v>
      </c>
      <c r="X18" s="9">
        <v>0.99230769230769234</v>
      </c>
      <c r="Y18" s="9">
        <v>0.21832515514504255</v>
      </c>
      <c r="Z18" s="9">
        <v>0.32563320825515951</v>
      </c>
      <c r="AA18" s="9">
        <v>0</v>
      </c>
      <c r="AB18" s="9">
        <v>0.74511413383364611</v>
      </c>
    </row>
    <row r="19" spans="1:28">
      <c r="A19" s="4">
        <v>15</v>
      </c>
      <c r="B19" s="10">
        <v>54</v>
      </c>
      <c r="C19" s="11">
        <v>6.3529411764705876E-2</v>
      </c>
      <c r="D19" s="4" t="s">
        <v>60</v>
      </c>
      <c r="E19" s="9">
        <v>40.685185185185183</v>
      </c>
      <c r="F19" s="9">
        <v>1.0118203553664757</v>
      </c>
      <c r="G19" s="9">
        <v>1.8161677221333168</v>
      </c>
      <c r="H19" s="9">
        <v>0.35105564041154697</v>
      </c>
      <c r="I19" s="9">
        <v>15.100880758807589</v>
      </c>
      <c r="J19" s="9">
        <v>20.814814814814813</v>
      </c>
      <c r="K19" s="9">
        <v>3.2839493844286172</v>
      </c>
      <c r="L19" s="9">
        <v>1.8842519688896555</v>
      </c>
      <c r="M19" s="9">
        <v>0.6763550135501355</v>
      </c>
      <c r="N19" s="9">
        <v>3.3943942114226813</v>
      </c>
      <c r="O19" s="9">
        <v>1.3747945472340182</v>
      </c>
      <c r="P19" s="9">
        <v>0.20312389178665735</v>
      </c>
      <c r="Q19" s="9">
        <v>1.3676267432319256</v>
      </c>
      <c r="R19" s="9">
        <v>1.4007597340930666E-3</v>
      </c>
      <c r="S19" s="9">
        <v>1.5989751820521245</v>
      </c>
      <c r="T19" s="9">
        <v>0.96450993676603436</v>
      </c>
      <c r="U19" s="9">
        <v>0.44569783197831975</v>
      </c>
      <c r="V19" s="9">
        <v>2.5775915093726041</v>
      </c>
      <c r="W19" s="9">
        <v>0.14128745732069672</v>
      </c>
      <c r="X19" s="9">
        <v>0.96084010840108391</v>
      </c>
      <c r="Y19" s="9">
        <v>3.4135049683830174E-2</v>
      </c>
      <c r="Z19" s="9">
        <v>0.14507678410117433</v>
      </c>
      <c r="AA19" s="9">
        <v>0</v>
      </c>
      <c r="AB19" s="9">
        <v>7.9878048780487793E-2</v>
      </c>
    </row>
    <row r="20" spans="1:28">
      <c r="A20" s="4">
        <v>16</v>
      </c>
      <c r="B20" s="10">
        <v>182</v>
      </c>
      <c r="C20" s="11">
        <v>0.21411764705882352</v>
      </c>
      <c r="D20" s="4" t="s">
        <v>63</v>
      </c>
      <c r="E20" s="9">
        <v>40.274725274725277</v>
      </c>
      <c r="F20" s="9">
        <v>0.64396418500734498</v>
      </c>
      <c r="G20" s="9">
        <v>1.1935161159135816</v>
      </c>
      <c r="H20" s="9">
        <v>0.2388941893025788</v>
      </c>
      <c r="I20" s="9">
        <v>34.873715543368448</v>
      </c>
      <c r="J20" s="9">
        <v>48.093406593406591</v>
      </c>
      <c r="K20" s="9">
        <v>8.2120909005342533</v>
      </c>
      <c r="L20" s="9">
        <v>1.6188113303608509</v>
      </c>
      <c r="M20" s="9">
        <v>0.39176915173631871</v>
      </c>
      <c r="N20" s="9">
        <v>6.124914920076395</v>
      </c>
      <c r="O20" s="9">
        <v>1.5179752344050252</v>
      </c>
      <c r="P20" s="9">
        <v>0.29824844134745832</v>
      </c>
      <c r="Q20" s="9">
        <v>2.1926327424270795</v>
      </c>
      <c r="R20" s="9">
        <v>1.7443386572941217E-2</v>
      </c>
      <c r="S20" s="9">
        <v>3.763869699541925</v>
      </c>
      <c r="T20" s="9">
        <v>0.97200138823028137</v>
      </c>
      <c r="U20" s="9">
        <v>0.65057805702740035</v>
      </c>
      <c r="V20" s="9">
        <v>0.93520979005794036</v>
      </c>
      <c r="W20" s="9">
        <v>0.68919122407572797</v>
      </c>
      <c r="X20" s="9">
        <v>0.9509271763258631</v>
      </c>
      <c r="Y20" s="9">
        <v>0.15703444460480107</v>
      </c>
      <c r="Z20" s="9">
        <v>0.20304783552907379</v>
      </c>
      <c r="AA20" s="9">
        <v>0</v>
      </c>
      <c r="AB20" s="9">
        <v>0.125396195424338</v>
      </c>
    </row>
  </sheetData>
  <mergeCells count="1">
    <mergeCell ref="A1:AB1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3.8"/>
  <cols>
    <col min="1" max="1" width="18" customWidth="1"/>
    <col min="2" max="2" width="65" customWidth="1"/>
  </cols>
  <sheetData>
    <row r="1" spans="1:2">
      <c r="A1" s="1" t="s">
        <v>95</v>
      </c>
      <c r="B1" s="1" t="s">
        <v>96</v>
      </c>
    </row>
    <row r="2" spans="1:2">
      <c r="A2" s="5" t="s">
        <v>7</v>
      </c>
      <c r="B2" s="5" t="s">
        <v>97</v>
      </c>
    </row>
    <row r="3" spans="1:2">
      <c r="A3" s="5" t="s">
        <v>8</v>
      </c>
      <c r="B3" s="5" t="s">
        <v>98</v>
      </c>
    </row>
    <row r="4" spans="1:2">
      <c r="A4" s="5" t="s">
        <v>9</v>
      </c>
      <c r="B4" s="5" t="s">
        <v>99</v>
      </c>
    </row>
    <row r="5" spans="1:2">
      <c r="A5" s="5" t="s">
        <v>10</v>
      </c>
      <c r="B5" s="5" t="s">
        <v>100</v>
      </c>
    </row>
    <row r="6" spans="1:2">
      <c r="A6" s="5" t="s">
        <v>11</v>
      </c>
      <c r="B6" s="5" t="s">
        <v>101</v>
      </c>
    </row>
    <row r="7" spans="1:2">
      <c r="A7" s="5" t="s">
        <v>12</v>
      </c>
      <c r="B7" s="5" t="s">
        <v>102</v>
      </c>
    </row>
    <row r="8" spans="1:2">
      <c r="A8" s="5" t="s">
        <v>13</v>
      </c>
      <c r="B8" s="5" t="s">
        <v>103</v>
      </c>
    </row>
    <row r="9" spans="1:2">
      <c r="A9" s="5" t="s">
        <v>104</v>
      </c>
      <c r="B9" s="5" t="s">
        <v>105</v>
      </c>
    </row>
    <row r="10" spans="1:2">
      <c r="A10" s="5" t="s">
        <v>106</v>
      </c>
      <c r="B10" s="5" t="s">
        <v>107</v>
      </c>
    </row>
    <row r="11" spans="1:2" ht="27.6">
      <c r="A11" s="5" t="s">
        <v>108</v>
      </c>
      <c r="B11" s="5" t="s">
        <v>109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Cluster_Labels</vt:lpstr>
      <vt:lpstr>Cluster_Profile</vt:lpstr>
      <vt:lpstr>Feature_Glossary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涵 孙</cp:lastModifiedBy>
  <dcterms:modified xsi:type="dcterms:W3CDTF">2026-04-03T13:55:08Z</dcterms:modified>
</cp:coreProperties>
</file>